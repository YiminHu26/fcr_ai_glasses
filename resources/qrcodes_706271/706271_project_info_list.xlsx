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Y"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Z005BYAE\Documents\fcr_ws\"/>
    </mc:Choice>
  </mc:AlternateContent>
  <xr:revisionPtr revIDLastSave="0" documentId="13_ncr:1_{17AC5657-379D-47F6-9158-269CFA681A94}" xr6:coauthVersionLast="47" xr6:coauthVersionMax="47" xr10:uidLastSave="{00000000-0000-0000-0000-000000000000}"/>
  <bookViews>
    <workbookView xWindow="-120" yWindow="-120" windowWidth="29040" windowHeight="17520" activeTab="1" xr2:uid="{00000000-000D-0000-FFFF-FFFF00000000}"/>
  </bookViews>
  <sheets>
    <sheet name="raw" sheetId="1" r:id="rId1"/>
    <sheet name="Sheet1" sheetId="6" r:id="rId2"/>
    <sheet name="textdump2json" sheetId="5" r:id="rId3"/>
    <sheet name="stringdump2qr" sheetId="4" r:id="rId4"/>
    <sheet name="fcr_template"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4" l="1"/>
  <c r="A28" i="5"/>
  <c r="A27" i="5"/>
  <c r="A26" i="5"/>
  <c r="A25" i="5"/>
  <c r="A24" i="5"/>
  <c r="A23" i="5"/>
  <c r="A22" i="5"/>
  <c r="A21" i="5"/>
  <c r="A20" i="5"/>
  <c r="A19" i="5"/>
  <c r="A18" i="5"/>
  <c r="A17" i="5"/>
  <c r="A16" i="5"/>
  <c r="A15" i="5"/>
  <c r="A14" i="5"/>
  <c r="A13" i="5"/>
  <c r="A12" i="5"/>
  <c r="A11" i="5"/>
  <c r="A10" i="5"/>
  <c r="A9" i="5"/>
  <c r="A8" i="5"/>
  <c r="A7" i="5"/>
  <c r="A6" i="5"/>
  <c r="A5" i="5"/>
  <c r="A4" i="5"/>
  <c r="A3" i="5"/>
  <c r="A2" i="5"/>
  <c r="A1" i="5"/>
  <c r="C12" i="4"/>
  <c r="C2" i="4"/>
  <c r="C3" i="4"/>
  <c r="C4" i="4"/>
  <c r="C5" i="4"/>
  <c r="C6" i="4"/>
  <c r="C7" i="4"/>
  <c r="C8" i="4"/>
  <c r="C9" i="4"/>
  <c r="C10" i="4"/>
  <c r="C11" i="4"/>
  <c r="C13" i="4"/>
  <c r="C14" i="4"/>
  <c r="C15" i="4"/>
  <c r="C16" i="4"/>
  <c r="C17" i="4"/>
  <c r="C18" i="4"/>
  <c r="C19" i="4"/>
  <c r="C20" i="4"/>
  <c r="C21" i="4"/>
  <c r="C22" i="4"/>
  <c r="C23" i="4"/>
  <c r="C24" i="4"/>
  <c r="C25" i="4"/>
  <c r="C26" i="4"/>
  <c r="C27" i="4"/>
  <c r="C28" i="4"/>
  <c r="B2" i="4"/>
  <c r="B3" i="4"/>
  <c r="B4" i="4"/>
  <c r="B5" i="4"/>
  <c r="B6" i="4"/>
  <c r="B7" i="4"/>
  <c r="B8" i="4"/>
  <c r="B9" i="4"/>
  <c r="B10" i="4"/>
  <c r="B11" i="4"/>
  <c r="B12" i="4"/>
  <c r="B13" i="4"/>
  <c r="B14" i="4"/>
  <c r="B15" i="4"/>
  <c r="B16" i="4"/>
  <c r="B17" i="4"/>
  <c r="B18" i="4"/>
  <c r="B19" i="4"/>
  <c r="B20" i="4"/>
  <c r="B21" i="4"/>
  <c r="B22" i="4"/>
  <c r="B23" i="4"/>
  <c r="B24" i="4"/>
  <c r="B25" i="4"/>
  <c r="B26" i="4"/>
  <c r="B27" i="4"/>
  <c r="B28" i="4"/>
  <c r="A21" i="4"/>
  <c r="A22" i="4"/>
  <c r="A23" i="4"/>
  <c r="A24" i="4"/>
  <c r="A25" i="4"/>
  <c r="A26" i="4"/>
  <c r="A27" i="4"/>
  <c r="A28" i="4"/>
  <c r="A4" i="4"/>
  <c r="A5" i="4"/>
  <c r="A6" i="4"/>
  <c r="A7" i="4"/>
  <c r="A8" i="4"/>
  <c r="A9" i="4"/>
  <c r="A10" i="4"/>
  <c r="A11" i="4"/>
  <c r="A12" i="4"/>
  <c r="A13" i="4"/>
  <c r="A14" i="4"/>
  <c r="A15" i="4"/>
  <c r="A16" i="4"/>
  <c r="A17" i="4"/>
  <c r="A18" i="4"/>
  <c r="A19" i="4"/>
  <c r="A20" i="4"/>
  <c r="A2" i="4"/>
  <c r="A3" i="4"/>
  <c r="A1" i="4"/>
  <c r="C1" i="4"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futureMetadata>
  <valueMetadata count="2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valueMetadata>
</metadata>
</file>

<file path=xl/sharedStrings.xml><?xml version="1.0" encoding="utf-8"?>
<sst xmlns="http://schemas.openxmlformats.org/spreadsheetml/2006/main" count="174" uniqueCount="72">
  <si>
    <t>项目号</t>
  </si>
  <si>
    <t>device_id</t>
  </si>
  <si>
    <t>proj_id</t>
  </si>
  <si>
    <t>bay_id</t>
  </si>
  <si>
    <t>batch_id</t>
  </si>
  <si>
    <t>hzdrawing_page</t>
  </si>
  <si>
    <t>transportation_cell_symbol</t>
  </si>
  <si>
    <t>8DN9-2</t>
  </si>
  <si>
    <t>D01</t>
  </si>
  <si>
    <t>Q0+W80+Q1+T1+Q52+T2</t>
  </si>
  <si>
    <t>HZ-478-M706271-B06</t>
  </si>
  <si>
    <t>Q2+Q51+W90</t>
  </si>
  <si>
    <t>Q8+Q9+W1</t>
  </si>
  <si>
    <t>Q53+Q91+W4</t>
  </si>
  <si>
    <t>HZ-478-M706271-B07</t>
  </si>
  <si>
    <t>D02</t>
  </si>
  <si>
    <t>HZ-478-M706271-B12</t>
  </si>
  <si>
    <t>D03</t>
  </si>
  <si>
    <t>HZ-478-M706271-B17</t>
  </si>
  <si>
    <t>HZ-478-M706271-B18</t>
  </si>
  <si>
    <t>D04</t>
  </si>
  <si>
    <t>W81</t>
  </si>
  <si>
    <t>W91</t>
  </si>
  <si>
    <t>HZ-478-M706271-B22</t>
  </si>
  <si>
    <t>D05</t>
  </si>
  <si>
    <t>Q0+W80+Q1+Q51+T1+T2+W1+W2</t>
  </si>
  <si>
    <t>Q2+Q52+W3+W90</t>
  </si>
  <si>
    <t>W81+W82</t>
  </si>
  <si>
    <t>W91+W92</t>
  </si>
  <si>
    <t>W83</t>
  </si>
  <si>
    <t>Q18+W5</t>
  </si>
  <si>
    <t>Q3+Q15+W6+W7.R+W7.B+W8.Y</t>
  </si>
  <si>
    <t>W84</t>
  </si>
  <si>
    <t>Q28+W9+W10+W93</t>
  </si>
  <si>
    <t>Q4+W11+W13.Y+W14+W15</t>
  </si>
  <si>
    <t>Q25+W12.R+W12.B+W12.Y</t>
  </si>
  <si>
    <t>W94</t>
  </si>
  <si>
    <t>HZ-478-M706271-B27</t>
  </si>
  <si>
    <t>HZ-478-M706271-B28</t>
  </si>
  <si>
    <t>HZ-478-M706271-B29</t>
  </si>
  <si>
    <t>8D</t>
  </si>
  <si>
    <t>批号</t>
  </si>
  <si>
    <t>按照HZ图纸</t>
  </si>
  <si>
    <t>间隔中应包含的开关设备及其完整性*）：</t>
  </si>
  <si>
    <t>Q___</t>
  </si>
  <si>
    <t>*）主要检测点：</t>
  </si>
  <si>
    <t>序号</t>
  </si>
  <si>
    <t>主要检测点</t>
  </si>
  <si>
    <t>检测结果</t>
  </si>
  <si>
    <t>备注</t>
  </si>
  <si>
    <t>a</t>
  </si>
  <si>
    <t>b</t>
  </si>
  <si>
    <t>c</t>
  </si>
  <si>
    <t>d</t>
  </si>
  <si>
    <t>e</t>
  </si>
  <si>
    <t>…</t>
  </si>
  <si>
    <t>测试和安装单据需要填写的信息的完整性和正确性</t>
  </si>
  <si>
    <t>模块各种标签的完整性和正确性</t>
  </si>
  <si>
    <t>每一个单独运输模块的外部拼装和生产安装图及气体监视方案图相符</t>
  </si>
  <si>
    <t>开关的分合位置符合运输要求</t>
  </si>
  <si>
    <t>对接拼装面封装完整</t>
  </si>
  <si>
    <t>终检报告（FCR）</t>
  </si>
  <si>
    <t>C01.3-G11</t>
  </si>
  <si>
    <t>Q9+Q8</t>
  </si>
  <si>
    <t>C02.3-G107</t>
  </si>
  <si>
    <t>Q2+Q51</t>
  </si>
  <si>
    <t>Q6+Q52+Q53</t>
  </si>
  <si>
    <t>C01.1-G30</t>
  </si>
  <si>
    <t>Q1+Q51</t>
  </si>
  <si>
    <t>C02.2-G33</t>
  </si>
  <si>
    <t>Q62+Q52</t>
  </si>
  <si>
    <t>C01.2-G53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</si>
</sst>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6"/>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0" fillId="0" borderId="1" xfId="0" applyBorder="1" applyAlignment="1">
      <alignment horizontal="center"/>
    </xf>
    <xf numFmtId="0" fontId="0" fillId="0" borderId="2" xfId="0" applyBorder="1"/>
    <xf numFmtId="0" fontId="0" fillId="0" borderId="3" xfId="0" applyBorder="1"/>
    <xf numFmtId="0" fontId="0" fillId="0" borderId="4" xfId="0" applyBorder="1"/>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0/07/relationships/rdRichValueWebImage" Target="richData/rdRichValueWebImag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13" Type="http://schemas.openxmlformats.org/officeDocument/2006/relationships/hyperlink" Target="https://quickchart.io/qr?text=8DN9-2%23706271%23D02%2331302676%23HZ-478-M706271-B12%23Q8%2BQ9%2BW1" TargetMode="External"/><Relationship Id="rId18" Type="http://schemas.openxmlformats.org/officeDocument/2006/relationships/image" Target="../media/image9.png"/><Relationship Id="rId26" Type="http://schemas.openxmlformats.org/officeDocument/2006/relationships/image" Target="../media/image13.png"/><Relationship Id="rId39" Type="http://schemas.openxmlformats.org/officeDocument/2006/relationships/hyperlink" Target="https://quickchart.io/qr?text=8DN9-2%23706271%23D05%2331302679%23HZ-478-M706271-B27%23W91%2BW92" TargetMode="External"/><Relationship Id="rId21" Type="http://schemas.openxmlformats.org/officeDocument/2006/relationships/hyperlink" Target="https://quickchart.io/qr?text=8DN9-2%23706271%23D03%2331302677%23HZ-478-M706271-B18%23Q53%2BQ91%2BW4" TargetMode="External"/><Relationship Id="rId34" Type="http://schemas.openxmlformats.org/officeDocument/2006/relationships/image" Target="../media/image17.png"/><Relationship Id="rId42" Type="http://schemas.openxmlformats.org/officeDocument/2006/relationships/image" Target="../media/image21.png"/><Relationship Id="rId47" Type="http://schemas.openxmlformats.org/officeDocument/2006/relationships/hyperlink" Target="https://quickchart.io/qr?text=8DN9-2%23706271%23D05%2331302679%23HZ-478-M706271-B28%23W84" TargetMode="External"/><Relationship Id="rId50" Type="http://schemas.openxmlformats.org/officeDocument/2006/relationships/image" Target="../media/image25.png"/><Relationship Id="rId55" Type="http://schemas.openxmlformats.org/officeDocument/2006/relationships/hyperlink" Target="https://quickchart.io/qr?text=8DN9-2%23706271%23D05%2331302679%23HZ-478-M706271-B29%23W94" TargetMode="External"/><Relationship Id="rId7" Type="http://schemas.openxmlformats.org/officeDocument/2006/relationships/hyperlink" Target="https://quickchart.io/qr?text=8DN9-2%23706271%23D01%2331302675%23HZ-478-M706271-B07%23Q53%2BQ91%2BW4" TargetMode="External"/><Relationship Id="rId2" Type="http://schemas.openxmlformats.org/officeDocument/2006/relationships/image" Target="../media/image1.png"/><Relationship Id="rId16" Type="http://schemas.openxmlformats.org/officeDocument/2006/relationships/image" Target="../media/image8.png"/><Relationship Id="rId29" Type="http://schemas.openxmlformats.org/officeDocument/2006/relationships/hyperlink" Target="https://quickchart.io/qr?text=8DN9-2%23706271%23D04%2331302678%23HZ-478-M706271-B22%23W81" TargetMode="External"/><Relationship Id="rId11" Type="http://schemas.openxmlformats.org/officeDocument/2006/relationships/hyperlink" Target="https://quickchart.io/qr?text=8DN9-2%23706271%23D02%2331302676%23HZ-478-M706271-B12%23Q2%2BQ51%2BW90" TargetMode="External"/><Relationship Id="rId24" Type="http://schemas.openxmlformats.org/officeDocument/2006/relationships/image" Target="../media/image12.png"/><Relationship Id="rId32" Type="http://schemas.openxmlformats.org/officeDocument/2006/relationships/image" Target="../media/image16.png"/><Relationship Id="rId37" Type="http://schemas.openxmlformats.org/officeDocument/2006/relationships/hyperlink" Target="https://quickchart.io/qr?text=8DN9-2%23706271%23D05%2331302679%23HZ-478-M706271-B27%23W81%2BW82" TargetMode="External"/><Relationship Id="rId40" Type="http://schemas.openxmlformats.org/officeDocument/2006/relationships/image" Target="../media/image20.png"/><Relationship Id="rId45" Type="http://schemas.openxmlformats.org/officeDocument/2006/relationships/hyperlink" Target="https://quickchart.io/qr?text=8DN9-2%23706271%23D05%2331302679%23HZ-478-M706271-B28%23Q3%2BQ15%2BW6%2BW7.R%2BW7.B%2BW8.Y" TargetMode="External"/><Relationship Id="rId53" Type="http://schemas.openxmlformats.org/officeDocument/2006/relationships/hyperlink" Target="https://quickchart.io/qr?text=8DN9-2%23706271%23D05%2331302679%23HZ-478-M706271-B29%23Q25%2BW12.R%2BW12.B%2BW12.Y" TargetMode="External"/><Relationship Id="rId5" Type="http://schemas.openxmlformats.org/officeDocument/2006/relationships/hyperlink" Target="https://quickchart.io/qr?text=8DN9-2%23706271%23D01%2331302675%23HZ-478-M706271-B06%23Q8%2BQ9%2BW1" TargetMode="External"/><Relationship Id="rId10" Type="http://schemas.openxmlformats.org/officeDocument/2006/relationships/image" Target="../media/image5.png"/><Relationship Id="rId19" Type="http://schemas.openxmlformats.org/officeDocument/2006/relationships/hyperlink" Target="https://quickchart.io/qr?text=8DN9-2%23706271%23D03%2331302677%23HZ-478-M706271-B17%23Q8%2BQ9%2BW1" TargetMode="External"/><Relationship Id="rId31" Type="http://schemas.openxmlformats.org/officeDocument/2006/relationships/hyperlink" Target="https://quickchart.io/qr?text=8DN9-2%23706271%23D04%2331302678%23HZ-478-M706271-B22%23W91" TargetMode="External"/><Relationship Id="rId44" Type="http://schemas.openxmlformats.org/officeDocument/2006/relationships/image" Target="../media/image22.png"/><Relationship Id="rId52" Type="http://schemas.openxmlformats.org/officeDocument/2006/relationships/image" Target="../media/image26.Y"/><Relationship Id="rId4" Type="http://schemas.openxmlformats.org/officeDocument/2006/relationships/image" Target="../media/image2.png"/><Relationship Id="rId9" Type="http://schemas.openxmlformats.org/officeDocument/2006/relationships/hyperlink" Target="https://quickchart.io/qr?text=8DN9-2%23706271%23D02%2331302676%23HZ-478-M706271-B12%23Q0%2BW80%2BQ1%2BT1%2BQ52%2BT2" TargetMode="External"/><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hyperlink" Target="https://quickchart.io/qr?text=8DN9-2%23706271%23D04%2331302678%23HZ-478-M706271-B22%23Q8%2BQ9%2BW1" TargetMode="External"/><Relationship Id="rId30" Type="http://schemas.openxmlformats.org/officeDocument/2006/relationships/image" Target="../media/image15.png"/><Relationship Id="rId35" Type="http://schemas.openxmlformats.org/officeDocument/2006/relationships/hyperlink" Target="https://quickchart.io/qr?text=8DN9-2%23706271%23D05%2331302679%23HZ-478-M706271-B27%23Q2%2BQ52%2BW3%2BW90" TargetMode="External"/><Relationship Id="rId43" Type="http://schemas.openxmlformats.org/officeDocument/2006/relationships/hyperlink" Target="https://quickchart.io/qr?text=8DN9-2%23706271%23D05%2331302679%23HZ-478-M706271-B28%23Q18%2BW5" TargetMode="External"/><Relationship Id="rId48" Type="http://schemas.openxmlformats.org/officeDocument/2006/relationships/image" Target="../media/image24.png"/><Relationship Id="rId56" Type="http://schemas.openxmlformats.org/officeDocument/2006/relationships/image" Target="../media/image28.png"/><Relationship Id="rId8" Type="http://schemas.openxmlformats.org/officeDocument/2006/relationships/image" Target="../media/image4.png"/><Relationship Id="rId51" Type="http://schemas.openxmlformats.org/officeDocument/2006/relationships/hyperlink" Target="https://quickchart.io/qr?text=8DN9-2%23706271%23D05%2331302679%23HZ-478-M706271-B29%23Q4%2BW11%2BW13.Y%2BW14%2BW15" TargetMode="External"/><Relationship Id="rId3" Type="http://schemas.openxmlformats.org/officeDocument/2006/relationships/hyperlink" Target="https://quickchart.io/qr?text=8DN9-2%23706271%23D01%2331302675%23HZ-478-M706271-B06%23Q2%2BQ51%2BW90" TargetMode="External"/><Relationship Id="rId12" Type="http://schemas.openxmlformats.org/officeDocument/2006/relationships/image" Target="../media/image6.png"/><Relationship Id="rId17" Type="http://schemas.openxmlformats.org/officeDocument/2006/relationships/hyperlink" Target="https://quickchart.io/qr?text=8DN9-2%23706271%23D03%2331302677%23HZ-478-M706271-B17%23Q2%2BQ51%2BW90" TargetMode="External"/><Relationship Id="rId25" Type="http://schemas.openxmlformats.org/officeDocument/2006/relationships/hyperlink" Target="https://quickchart.io/qr?text=8DN9-2%23706271%23D04%2331302678%23HZ-478-M706271-B22%23Q2%2BQ51%2BW90" TargetMode="External"/><Relationship Id="rId33" Type="http://schemas.openxmlformats.org/officeDocument/2006/relationships/hyperlink" Target="https://quickchart.io/qr?text=8DN9-2%23706271%23D05%2331302679%23HZ-478-M706271-B27%23Q0%2BW80%2BQ1%2BQ51%2BT1%2BT2%2BW1%2BW2" TargetMode="External"/><Relationship Id="rId38" Type="http://schemas.openxmlformats.org/officeDocument/2006/relationships/image" Target="../media/image19.png"/><Relationship Id="rId46" Type="http://schemas.openxmlformats.org/officeDocument/2006/relationships/image" Target="../media/image23.Y"/><Relationship Id="rId20" Type="http://schemas.openxmlformats.org/officeDocument/2006/relationships/image" Target="../media/image10.png"/><Relationship Id="rId41" Type="http://schemas.openxmlformats.org/officeDocument/2006/relationships/hyperlink" Target="https://quickchart.io/qr?text=8DN9-2%23706271%23D05%2331302679%23HZ-478-M706271-B28%23W83" TargetMode="External"/><Relationship Id="rId54" Type="http://schemas.openxmlformats.org/officeDocument/2006/relationships/image" Target="../media/image27.Y"/><Relationship Id="rId1" Type="http://schemas.openxmlformats.org/officeDocument/2006/relationships/hyperlink" Target="https://quickchart.io/qr?text=8DN9-2%23706271%23D01%2331302675%23HZ-478-M706271-B06%23Q0%2BW80%2BQ1%2BT1%2BQ52%2BT2" TargetMode="External"/><Relationship Id="rId6" Type="http://schemas.openxmlformats.org/officeDocument/2006/relationships/image" Target="../media/image3.png"/><Relationship Id="rId15" Type="http://schemas.openxmlformats.org/officeDocument/2006/relationships/hyperlink" Target="https://quickchart.io/qr?text=8DN9-2%23706271%23D03%2331302677%23HZ-478-M706271-B17%23Q0%2BW80%2BQ1%2BT1%2BQ52%2BT2" TargetMode="External"/><Relationship Id="rId23" Type="http://schemas.openxmlformats.org/officeDocument/2006/relationships/hyperlink" Target="https://quickchart.io/qr?text=8DN9-2%23706271%23D04%2331302678%23HZ-478-M706271-B22%23Q0%2BW80%2BQ1%2BT1%2BQ52%2BT2" TargetMode="External"/><Relationship Id="rId28" Type="http://schemas.openxmlformats.org/officeDocument/2006/relationships/image" Target="../media/image14.png"/><Relationship Id="rId36" Type="http://schemas.openxmlformats.org/officeDocument/2006/relationships/image" Target="../media/image18.png"/><Relationship Id="rId49" Type="http://schemas.openxmlformats.org/officeDocument/2006/relationships/hyperlink" Target="https://quickchart.io/qr?text=8DN9-2%23706271%23D05%2331302679%23HZ-478-M706271-B29%23Q28%2BW9%2BW10%2BW93"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rd>
    <address r:id="rId15"/>
    <blip r:id="rId16"/>
  </webImageSrd>
  <webImageSrd>
    <address r:id="rId17"/>
    <blip r:id="rId18"/>
  </webImageSrd>
  <webImageSrd>
    <address r:id="rId19"/>
    <blip r:id="rId20"/>
  </webImageSrd>
  <webImageSrd>
    <address r:id="rId21"/>
    <blip r:id="rId22"/>
  </webImageSrd>
  <webImageSrd>
    <address r:id="rId23"/>
    <blip r:id="rId24"/>
  </webImageSrd>
  <webImageSrd>
    <address r:id="rId25"/>
    <blip r:id="rId26"/>
  </webImageSrd>
  <webImageSrd>
    <address r:id="rId27"/>
    <blip r:id="rId28"/>
  </webImageSrd>
  <webImageSrd>
    <address r:id="rId29"/>
    <blip r:id="rId30"/>
  </webImageSrd>
  <webImageSrd>
    <address r:id="rId31"/>
    <blip r:id="rId32"/>
  </webImageSrd>
  <webImageSrd>
    <address r:id="rId33"/>
    <blip r:id="rId34"/>
  </webImageSrd>
  <webImageSrd>
    <address r:id="rId35"/>
    <blip r:id="rId36"/>
  </webImageSrd>
  <webImageSrd>
    <address r:id="rId37"/>
    <blip r:id="rId38"/>
  </webImageSrd>
  <webImageSrd>
    <address r:id="rId39"/>
    <blip r:id="rId40"/>
  </webImageSrd>
  <webImageSrd>
    <address r:id="rId41"/>
    <blip r:id="rId42"/>
  </webImageSrd>
  <webImageSrd>
    <address r:id="rId43"/>
    <blip r:id="rId44"/>
  </webImageSrd>
  <webImageSrd>
    <address r:id="rId45"/>
    <blip r:id="rId46"/>
  </webImageSrd>
  <webImageSrd>
    <address r:id="rId47"/>
    <blip r:id="rId48"/>
  </webImageSrd>
  <webImageSrd>
    <address r:id="rId49"/>
    <blip r:id="rId50"/>
  </webImageSrd>
  <webImageSrd>
    <address r:id="rId51"/>
    <blip r:id="rId52"/>
  </webImageSrd>
  <webImageSrd>
    <address r:id="rId53"/>
    <blip r:id="rId54"/>
  </webImageSrd>
  <webImageSrd>
    <address r:id="rId55"/>
    <blip r:id="rId56"/>
  </webImageSrd>
</webImagesSrd>
</file>

<file path=xl/richData/rdrichvalue.xml><?xml version="1.0" encoding="utf-8"?>
<rvData xmlns="http://schemas.microsoft.com/office/spreadsheetml/2017/richdata" count="28">
  <rv s="0">
    <v>0</v>
    <v>1</v>
    <v>0</v>
    <v>0</v>
  </rv>
  <rv s="0">
    <v>1</v>
    <v>1</v>
    <v>0</v>
    <v>0</v>
  </rv>
  <rv s="0">
    <v>2</v>
    <v>1</v>
    <v>0</v>
    <v>0</v>
  </rv>
  <rv s="0">
    <v>3</v>
    <v>1</v>
    <v>0</v>
    <v>0</v>
  </rv>
  <rv s="0">
    <v>4</v>
    <v>1</v>
    <v>0</v>
    <v>0</v>
  </rv>
  <rv s="0">
    <v>5</v>
    <v>1</v>
    <v>0</v>
    <v>0</v>
  </rv>
  <rv s="0">
    <v>6</v>
    <v>1</v>
    <v>0</v>
    <v>0</v>
  </rv>
  <rv s="0">
    <v>7</v>
    <v>1</v>
    <v>0</v>
    <v>0</v>
  </rv>
  <rv s="0">
    <v>8</v>
    <v>1</v>
    <v>0</v>
    <v>0</v>
  </rv>
  <rv s="0">
    <v>9</v>
    <v>1</v>
    <v>0</v>
    <v>0</v>
  </rv>
  <rv s="0">
    <v>10</v>
    <v>1</v>
    <v>0</v>
    <v>0</v>
  </rv>
  <rv s="0">
    <v>11</v>
    <v>1</v>
    <v>0</v>
    <v>0</v>
  </rv>
  <rv s="0">
    <v>12</v>
    <v>1</v>
    <v>0</v>
    <v>0</v>
  </rv>
  <rv s="0">
    <v>13</v>
    <v>1</v>
    <v>0</v>
    <v>0</v>
  </rv>
  <rv s="0">
    <v>14</v>
    <v>1</v>
    <v>0</v>
    <v>0</v>
  </rv>
  <rv s="0">
    <v>15</v>
    <v>1</v>
    <v>0</v>
    <v>0</v>
  </rv>
  <rv s="0">
    <v>16</v>
    <v>1</v>
    <v>0</v>
    <v>0</v>
  </rv>
  <rv s="0">
    <v>17</v>
    <v>1</v>
    <v>0</v>
    <v>0</v>
  </rv>
  <rv s="0">
    <v>18</v>
    <v>1</v>
    <v>0</v>
    <v>0</v>
  </rv>
  <rv s="0">
    <v>19</v>
    <v>1</v>
    <v>0</v>
    <v>0</v>
  </rv>
  <rv s="0">
    <v>20</v>
    <v>1</v>
    <v>0</v>
    <v>0</v>
  </rv>
  <rv s="0">
    <v>21</v>
    <v>1</v>
    <v>0</v>
    <v>0</v>
  </rv>
  <rv s="0">
    <v>22</v>
    <v>1</v>
    <v>0</v>
    <v>0</v>
  </rv>
  <rv s="0">
    <v>23</v>
    <v>1</v>
    <v>0</v>
    <v>0</v>
  </rv>
  <rv s="0">
    <v>24</v>
    <v>1</v>
    <v>0</v>
    <v>0</v>
  </rv>
  <rv s="0">
    <v>25</v>
    <v>1</v>
    <v>0</v>
    <v>0</v>
  </rv>
  <rv s="0">
    <v>26</v>
    <v>1</v>
    <v>0</v>
    <v>0</v>
  </rv>
  <rv s="0">
    <v>27</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workbookViewId="0">
      <selection sqref="A1:XFD1"/>
    </sheetView>
  </sheetViews>
  <sheetFormatPr defaultRowHeight="15" x14ac:dyDescent="0.25"/>
  <cols>
    <col min="5" max="5" width="23.7109375" bestFit="1" customWidth="1"/>
    <col min="6" max="6" width="45" customWidth="1"/>
  </cols>
  <sheetData>
    <row r="1" spans="1:6" x14ac:dyDescent="0.25">
      <c r="A1" t="s">
        <v>1</v>
      </c>
      <c r="B1" t="s">
        <v>2</v>
      </c>
      <c r="C1" t="s">
        <v>3</v>
      </c>
      <c r="D1" t="s">
        <v>4</v>
      </c>
      <c r="E1" t="s">
        <v>5</v>
      </c>
      <c r="F1" t="s">
        <v>6</v>
      </c>
    </row>
    <row r="2" spans="1:6" x14ac:dyDescent="0.25">
      <c r="A2" t="s">
        <v>7</v>
      </c>
      <c r="B2">
        <v>706271</v>
      </c>
      <c r="C2" t="s">
        <v>8</v>
      </c>
      <c r="D2">
        <v>31302675</v>
      </c>
      <c r="E2" t="s">
        <v>10</v>
      </c>
      <c r="F2" t="s">
        <v>9</v>
      </c>
    </row>
    <row r="3" spans="1:6" x14ac:dyDescent="0.25">
      <c r="A3" t="s">
        <v>7</v>
      </c>
      <c r="B3">
        <v>706271</v>
      </c>
      <c r="C3" t="s">
        <v>8</v>
      </c>
      <c r="D3">
        <v>31302675</v>
      </c>
      <c r="E3" t="s">
        <v>10</v>
      </c>
      <c r="F3" t="s">
        <v>11</v>
      </c>
    </row>
    <row r="4" spans="1:6" x14ac:dyDescent="0.25">
      <c r="A4" t="s">
        <v>7</v>
      </c>
      <c r="B4">
        <v>706271</v>
      </c>
      <c r="C4" t="s">
        <v>8</v>
      </c>
      <c r="D4">
        <v>31302675</v>
      </c>
      <c r="E4" t="s">
        <v>10</v>
      </c>
      <c r="F4" t="s">
        <v>12</v>
      </c>
    </row>
    <row r="5" spans="1:6" x14ac:dyDescent="0.25">
      <c r="A5" t="s">
        <v>7</v>
      </c>
      <c r="B5">
        <v>706271</v>
      </c>
      <c r="C5" t="s">
        <v>8</v>
      </c>
      <c r="D5">
        <v>31302675</v>
      </c>
      <c r="E5" t="s">
        <v>14</v>
      </c>
      <c r="F5" t="s">
        <v>13</v>
      </c>
    </row>
    <row r="6" spans="1:6" x14ac:dyDescent="0.25">
      <c r="A6" t="s">
        <v>7</v>
      </c>
      <c r="B6">
        <v>706271</v>
      </c>
      <c r="C6" t="s">
        <v>15</v>
      </c>
      <c r="D6">
        <v>31302676</v>
      </c>
      <c r="E6" t="s">
        <v>16</v>
      </c>
      <c r="F6" t="s">
        <v>9</v>
      </c>
    </row>
    <row r="7" spans="1:6" x14ac:dyDescent="0.25">
      <c r="A7" t="s">
        <v>7</v>
      </c>
      <c r="B7">
        <v>706271</v>
      </c>
      <c r="C7" t="s">
        <v>15</v>
      </c>
      <c r="D7">
        <v>31302676</v>
      </c>
      <c r="E7" t="s">
        <v>16</v>
      </c>
      <c r="F7" t="s">
        <v>11</v>
      </c>
    </row>
    <row r="8" spans="1:6" x14ac:dyDescent="0.25">
      <c r="A8" t="s">
        <v>7</v>
      </c>
      <c r="B8">
        <v>706271</v>
      </c>
      <c r="C8" t="s">
        <v>15</v>
      </c>
      <c r="D8">
        <v>31302676</v>
      </c>
      <c r="E8" t="s">
        <v>16</v>
      </c>
      <c r="F8" t="s">
        <v>12</v>
      </c>
    </row>
    <row r="9" spans="1:6" x14ac:dyDescent="0.25">
      <c r="A9" t="s">
        <v>7</v>
      </c>
      <c r="B9">
        <v>706271</v>
      </c>
      <c r="C9" t="s">
        <v>17</v>
      </c>
      <c r="D9">
        <v>31302677</v>
      </c>
      <c r="E9" t="s">
        <v>18</v>
      </c>
      <c r="F9" t="s">
        <v>9</v>
      </c>
    </row>
    <row r="10" spans="1:6" x14ac:dyDescent="0.25">
      <c r="A10" t="s">
        <v>7</v>
      </c>
      <c r="B10">
        <v>706271</v>
      </c>
      <c r="C10" t="s">
        <v>17</v>
      </c>
      <c r="D10">
        <v>31302677</v>
      </c>
      <c r="E10" t="s">
        <v>18</v>
      </c>
      <c r="F10" t="s">
        <v>11</v>
      </c>
    </row>
    <row r="11" spans="1:6" x14ac:dyDescent="0.25">
      <c r="A11" t="s">
        <v>7</v>
      </c>
      <c r="B11">
        <v>706271</v>
      </c>
      <c r="C11" t="s">
        <v>17</v>
      </c>
      <c r="D11">
        <v>31302677</v>
      </c>
      <c r="E11" t="s">
        <v>18</v>
      </c>
      <c r="F11" t="s">
        <v>12</v>
      </c>
    </row>
    <row r="12" spans="1:6" x14ac:dyDescent="0.25">
      <c r="A12" t="s">
        <v>7</v>
      </c>
      <c r="B12">
        <v>706271</v>
      </c>
      <c r="C12" t="s">
        <v>17</v>
      </c>
      <c r="D12">
        <v>31302677</v>
      </c>
      <c r="E12" t="s">
        <v>19</v>
      </c>
      <c r="F12" t="s">
        <v>13</v>
      </c>
    </row>
    <row r="13" spans="1:6" x14ac:dyDescent="0.25">
      <c r="A13" t="s">
        <v>7</v>
      </c>
      <c r="B13">
        <v>706271</v>
      </c>
      <c r="C13" t="s">
        <v>20</v>
      </c>
      <c r="D13">
        <v>31302678</v>
      </c>
      <c r="E13" t="s">
        <v>23</v>
      </c>
      <c r="F13" t="s">
        <v>9</v>
      </c>
    </row>
    <row r="14" spans="1:6" x14ac:dyDescent="0.25">
      <c r="A14" t="s">
        <v>7</v>
      </c>
      <c r="B14">
        <v>706271</v>
      </c>
      <c r="C14" t="s">
        <v>20</v>
      </c>
      <c r="D14">
        <v>31302678</v>
      </c>
      <c r="E14" t="s">
        <v>23</v>
      </c>
      <c r="F14" t="s">
        <v>11</v>
      </c>
    </row>
    <row r="15" spans="1:6" x14ac:dyDescent="0.25">
      <c r="A15" t="s">
        <v>7</v>
      </c>
      <c r="B15">
        <v>706271</v>
      </c>
      <c r="C15" t="s">
        <v>20</v>
      </c>
      <c r="D15">
        <v>31302678</v>
      </c>
      <c r="E15" t="s">
        <v>23</v>
      </c>
      <c r="F15" t="s">
        <v>12</v>
      </c>
    </row>
    <row r="16" spans="1:6" x14ac:dyDescent="0.25">
      <c r="A16" t="s">
        <v>7</v>
      </c>
      <c r="B16">
        <v>706271</v>
      </c>
      <c r="C16" t="s">
        <v>20</v>
      </c>
      <c r="D16">
        <v>31302678</v>
      </c>
      <c r="E16" t="s">
        <v>23</v>
      </c>
      <c r="F16" t="s">
        <v>21</v>
      </c>
    </row>
    <row r="17" spans="1:6" x14ac:dyDescent="0.25">
      <c r="A17" t="s">
        <v>7</v>
      </c>
      <c r="B17">
        <v>706271</v>
      </c>
      <c r="C17" t="s">
        <v>20</v>
      </c>
      <c r="D17">
        <v>31302678</v>
      </c>
      <c r="E17" t="s">
        <v>23</v>
      </c>
      <c r="F17" t="s">
        <v>22</v>
      </c>
    </row>
    <row r="18" spans="1:6" x14ac:dyDescent="0.25">
      <c r="A18" t="s">
        <v>7</v>
      </c>
      <c r="B18">
        <v>706271</v>
      </c>
      <c r="C18" t="s">
        <v>24</v>
      </c>
      <c r="D18">
        <v>31302679</v>
      </c>
      <c r="E18" t="s">
        <v>37</v>
      </c>
      <c r="F18" t="s">
        <v>25</v>
      </c>
    </row>
    <row r="19" spans="1:6" x14ac:dyDescent="0.25">
      <c r="A19" t="s">
        <v>7</v>
      </c>
      <c r="B19">
        <v>706271</v>
      </c>
      <c r="C19" t="s">
        <v>24</v>
      </c>
      <c r="D19">
        <v>31302679</v>
      </c>
      <c r="E19" t="s">
        <v>37</v>
      </c>
      <c r="F19" t="s">
        <v>26</v>
      </c>
    </row>
    <row r="20" spans="1:6" x14ac:dyDescent="0.25">
      <c r="A20" t="s">
        <v>7</v>
      </c>
      <c r="B20">
        <v>706271</v>
      </c>
      <c r="C20" t="s">
        <v>24</v>
      </c>
      <c r="D20">
        <v>31302679</v>
      </c>
      <c r="E20" t="s">
        <v>37</v>
      </c>
      <c r="F20" t="s">
        <v>27</v>
      </c>
    </row>
    <row r="21" spans="1:6" x14ac:dyDescent="0.25">
      <c r="A21" t="s">
        <v>7</v>
      </c>
      <c r="B21">
        <v>706271</v>
      </c>
      <c r="C21" t="s">
        <v>24</v>
      </c>
      <c r="D21">
        <v>31302679</v>
      </c>
      <c r="E21" t="s">
        <v>37</v>
      </c>
      <c r="F21" t="s">
        <v>28</v>
      </c>
    </row>
    <row r="22" spans="1:6" x14ac:dyDescent="0.25">
      <c r="A22" t="s">
        <v>7</v>
      </c>
      <c r="B22">
        <v>706271</v>
      </c>
      <c r="C22" t="s">
        <v>24</v>
      </c>
      <c r="D22">
        <v>31302679</v>
      </c>
      <c r="E22" t="s">
        <v>38</v>
      </c>
      <c r="F22" t="s">
        <v>29</v>
      </c>
    </row>
    <row r="23" spans="1:6" x14ac:dyDescent="0.25">
      <c r="A23" t="s">
        <v>7</v>
      </c>
      <c r="B23">
        <v>706271</v>
      </c>
      <c r="C23" t="s">
        <v>24</v>
      </c>
      <c r="D23">
        <v>31302679</v>
      </c>
      <c r="E23" t="s">
        <v>38</v>
      </c>
      <c r="F23" t="s">
        <v>30</v>
      </c>
    </row>
    <row r="24" spans="1:6" x14ac:dyDescent="0.25">
      <c r="A24" t="s">
        <v>7</v>
      </c>
      <c r="B24">
        <v>706271</v>
      </c>
      <c r="C24" t="s">
        <v>24</v>
      </c>
      <c r="D24">
        <v>31302679</v>
      </c>
      <c r="E24" t="s">
        <v>38</v>
      </c>
      <c r="F24" t="s">
        <v>31</v>
      </c>
    </row>
    <row r="25" spans="1:6" x14ac:dyDescent="0.25">
      <c r="A25" t="s">
        <v>7</v>
      </c>
      <c r="B25">
        <v>706271</v>
      </c>
      <c r="C25" t="s">
        <v>24</v>
      </c>
      <c r="D25">
        <v>31302679</v>
      </c>
      <c r="E25" t="s">
        <v>38</v>
      </c>
      <c r="F25" t="s">
        <v>32</v>
      </c>
    </row>
    <row r="26" spans="1:6" x14ac:dyDescent="0.25">
      <c r="A26" t="s">
        <v>7</v>
      </c>
      <c r="B26">
        <v>706271</v>
      </c>
      <c r="C26" t="s">
        <v>24</v>
      </c>
      <c r="D26">
        <v>31302679</v>
      </c>
      <c r="E26" t="s">
        <v>39</v>
      </c>
      <c r="F26" t="s">
        <v>33</v>
      </c>
    </row>
    <row r="27" spans="1:6" x14ac:dyDescent="0.25">
      <c r="A27" t="s">
        <v>7</v>
      </c>
      <c r="B27">
        <v>706271</v>
      </c>
      <c r="C27" t="s">
        <v>24</v>
      </c>
      <c r="D27">
        <v>31302679</v>
      </c>
      <c r="E27" t="s">
        <v>39</v>
      </c>
      <c r="F27" t="s">
        <v>34</v>
      </c>
    </row>
    <row r="28" spans="1:6" x14ac:dyDescent="0.25">
      <c r="A28" t="s">
        <v>7</v>
      </c>
      <c r="B28">
        <v>706271</v>
      </c>
      <c r="C28" t="s">
        <v>24</v>
      </c>
      <c r="D28">
        <v>31302679</v>
      </c>
      <c r="E28" t="s">
        <v>39</v>
      </c>
      <c r="F28" t="s">
        <v>35</v>
      </c>
    </row>
    <row r="29" spans="1:6" x14ac:dyDescent="0.25">
      <c r="A29" t="s">
        <v>7</v>
      </c>
      <c r="B29">
        <v>706271</v>
      </c>
      <c r="C29" t="s">
        <v>24</v>
      </c>
      <c r="D29">
        <v>31302679</v>
      </c>
      <c r="E29" t="s">
        <v>39</v>
      </c>
      <c r="F29"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77B07-BD16-4101-87DC-3989F9A959AD}">
  <dimension ref="A1:H9"/>
  <sheetViews>
    <sheetView tabSelected="1" workbookViewId="0">
      <selection activeCell="G9" sqref="G9"/>
    </sheetView>
  </sheetViews>
  <sheetFormatPr defaultRowHeight="15" x14ac:dyDescent="0.25"/>
  <sheetData>
    <row r="1" spans="1:8" x14ac:dyDescent="0.25">
      <c r="A1" t="s">
        <v>1</v>
      </c>
      <c r="B1" t="s">
        <v>2</v>
      </c>
      <c r="C1" t="s">
        <v>3</v>
      </c>
      <c r="D1" t="s">
        <v>4</v>
      </c>
      <c r="E1" t="s">
        <v>5</v>
      </c>
      <c r="F1" t="s">
        <v>6</v>
      </c>
    </row>
    <row r="2" spans="1:8" x14ac:dyDescent="0.25">
      <c r="B2">
        <v>706360</v>
      </c>
      <c r="C2" t="s">
        <v>62</v>
      </c>
      <c r="F2" t="s">
        <v>63</v>
      </c>
    </row>
    <row r="3" spans="1:8" x14ac:dyDescent="0.25">
      <c r="B3">
        <v>706360</v>
      </c>
      <c r="C3" t="s">
        <v>64</v>
      </c>
      <c r="F3" t="s">
        <v>65</v>
      </c>
    </row>
    <row r="4" spans="1:8" x14ac:dyDescent="0.25">
      <c r="B4">
        <v>706360</v>
      </c>
      <c r="C4" t="s">
        <v>64</v>
      </c>
      <c r="F4" t="s">
        <v>66</v>
      </c>
      <c r="H4">
        <v>17</v>
      </c>
    </row>
    <row r="5" spans="1:8" x14ac:dyDescent="0.25">
      <c r="B5">
        <v>706360</v>
      </c>
      <c r="C5" t="s">
        <v>67</v>
      </c>
      <c r="F5" t="s">
        <v>68</v>
      </c>
      <c r="H5">
        <v>15</v>
      </c>
    </row>
    <row r="6" spans="1:8" x14ac:dyDescent="0.25">
      <c r="B6">
        <v>706360</v>
      </c>
      <c r="C6" t="s">
        <v>64</v>
      </c>
      <c r="F6" t="s">
        <v>63</v>
      </c>
      <c r="H6">
        <v>15</v>
      </c>
    </row>
    <row r="7" spans="1:8" x14ac:dyDescent="0.25">
      <c r="C7" t="s">
        <v>69</v>
      </c>
      <c r="F7" t="s">
        <v>70</v>
      </c>
      <c r="H7">
        <v>14</v>
      </c>
    </row>
    <row r="8" spans="1:8" x14ac:dyDescent="0.25">
      <c r="C8" t="s">
        <v>62</v>
      </c>
      <c r="F8" t="s">
        <v>66</v>
      </c>
      <c r="H8">
        <v>19</v>
      </c>
    </row>
    <row r="9" spans="1:8" x14ac:dyDescent="0.25">
      <c r="C9" t="s">
        <v>71</v>
      </c>
      <c r="F9" t="s">
        <v>70</v>
      </c>
      <c r="H9">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496B0-0862-43B8-83F0-C77D10539B85}">
  <dimension ref="A1:A28"/>
  <sheetViews>
    <sheetView workbookViewId="0">
      <selection sqref="A1:A28"/>
    </sheetView>
  </sheetViews>
  <sheetFormatPr defaultRowHeight="15" x14ac:dyDescent="0.25"/>
  <cols>
    <col min="1" max="1" width="79.140625" bestFit="1" customWidth="1"/>
  </cols>
  <sheetData>
    <row r="1" spans="1:1" x14ac:dyDescent="0.25">
      <c r="A1" t="str">
        <f>raw!A2&amp;"#"&amp;raw!B2&amp;"#"&amp;raw!C2&amp;"#"&amp;raw!D2&amp;"#"&amp;raw!E2&amp;"#"&amp;raw!F2</f>
        <v>8DN9-2#706271#D01#31302675#HZ-478-M706271-B06#Q0+W80+Q1+T1+Q52+T2</v>
      </c>
    </row>
    <row r="2" spans="1:1" x14ac:dyDescent="0.25">
      <c r="A2" t="str">
        <f>raw!A3&amp;"#"&amp;raw!B3&amp;"#"&amp;raw!C3&amp;"#"&amp;raw!D3&amp;"#"&amp;raw!E3&amp;"#"&amp;raw!F3</f>
        <v>8DN9-2#706271#D01#31302675#HZ-478-M706271-B06#Q2+Q51+W90</v>
      </c>
    </row>
    <row r="3" spans="1:1" x14ac:dyDescent="0.25">
      <c r="A3" t="str">
        <f>raw!A4&amp;"#"&amp;raw!B4&amp;"#"&amp;raw!C4&amp;"#"&amp;raw!D4&amp;"#"&amp;raw!E4&amp;"#"&amp;raw!F4</f>
        <v>8DN9-2#706271#D01#31302675#HZ-478-M706271-B06#Q8+Q9+W1</v>
      </c>
    </row>
    <row r="4" spans="1:1" x14ac:dyDescent="0.25">
      <c r="A4" t="str">
        <f>raw!A5&amp;"#"&amp;raw!B5&amp;"#"&amp;raw!C5&amp;"#"&amp;raw!D5&amp;"#"&amp;raw!E5&amp;"#"&amp;raw!F5</f>
        <v>8DN9-2#706271#D01#31302675#HZ-478-M706271-B07#Q53+Q91+W4</v>
      </c>
    </row>
    <row r="5" spans="1:1" x14ac:dyDescent="0.25">
      <c r="A5" t="str">
        <f>raw!A6&amp;"#"&amp;raw!B6&amp;"#"&amp;raw!C6&amp;"#"&amp;raw!D6&amp;"#"&amp;raw!E6&amp;"#"&amp;raw!F6</f>
        <v>8DN9-2#706271#D02#31302676#HZ-478-M706271-B12#Q0+W80+Q1+T1+Q52+T2</v>
      </c>
    </row>
    <row r="6" spans="1:1" x14ac:dyDescent="0.25">
      <c r="A6" t="str">
        <f>raw!A7&amp;"#"&amp;raw!B7&amp;"#"&amp;raw!C7&amp;"#"&amp;raw!D7&amp;"#"&amp;raw!E7&amp;"#"&amp;raw!F7</f>
        <v>8DN9-2#706271#D02#31302676#HZ-478-M706271-B12#Q2+Q51+W90</v>
      </c>
    </row>
    <row r="7" spans="1:1" x14ac:dyDescent="0.25">
      <c r="A7" t="str">
        <f>raw!A8&amp;"#"&amp;raw!B8&amp;"#"&amp;raw!C8&amp;"#"&amp;raw!D8&amp;"#"&amp;raw!E8&amp;"#"&amp;raw!F8</f>
        <v>8DN9-2#706271#D02#31302676#HZ-478-M706271-B12#Q8+Q9+W1</v>
      </c>
    </row>
    <row r="8" spans="1:1" x14ac:dyDescent="0.25">
      <c r="A8" t="str">
        <f>raw!A9&amp;"#"&amp;raw!B9&amp;"#"&amp;raw!C9&amp;"#"&amp;raw!D9&amp;"#"&amp;raw!E9&amp;"#"&amp;raw!F9</f>
        <v>8DN9-2#706271#D03#31302677#HZ-478-M706271-B17#Q0+W80+Q1+T1+Q52+T2</v>
      </c>
    </row>
    <row r="9" spans="1:1" x14ac:dyDescent="0.25">
      <c r="A9" t="str">
        <f>raw!A10&amp;"#"&amp;raw!B10&amp;"#"&amp;raw!C10&amp;"#"&amp;raw!D10&amp;"#"&amp;raw!E10&amp;"#"&amp;raw!F10</f>
        <v>8DN9-2#706271#D03#31302677#HZ-478-M706271-B17#Q2+Q51+W90</v>
      </c>
    </row>
    <row r="10" spans="1:1" x14ac:dyDescent="0.25">
      <c r="A10" t="str">
        <f>raw!A11&amp;"#"&amp;raw!B11&amp;"#"&amp;raw!C11&amp;"#"&amp;raw!D11&amp;"#"&amp;raw!E11&amp;"#"&amp;raw!F11</f>
        <v>8DN9-2#706271#D03#31302677#HZ-478-M706271-B17#Q8+Q9+W1</v>
      </c>
    </row>
    <row r="11" spans="1:1" x14ac:dyDescent="0.25">
      <c r="A11" t="str">
        <f>raw!A12&amp;"#"&amp;raw!B12&amp;"#"&amp;raw!C12&amp;"#"&amp;raw!D12&amp;"#"&amp;raw!E12&amp;"#"&amp;raw!F12</f>
        <v>8DN9-2#706271#D03#31302677#HZ-478-M706271-B18#Q53+Q91+W4</v>
      </c>
    </row>
    <row r="12" spans="1:1" x14ac:dyDescent="0.25">
      <c r="A12" t="str">
        <f>raw!A13&amp;"#"&amp;raw!B13&amp;"#"&amp;raw!C13&amp;"#"&amp;raw!D13&amp;"#"&amp;raw!E13&amp;"#"&amp;raw!F13</f>
        <v>8DN9-2#706271#D04#31302678#HZ-478-M706271-B22#Q0+W80+Q1+T1+Q52+T2</v>
      </c>
    </row>
    <row r="13" spans="1:1" x14ac:dyDescent="0.25">
      <c r="A13" t="str">
        <f>raw!A14&amp;"#"&amp;raw!B14&amp;"#"&amp;raw!C14&amp;"#"&amp;raw!D14&amp;"#"&amp;raw!E14&amp;"#"&amp;raw!F14</f>
        <v>8DN9-2#706271#D04#31302678#HZ-478-M706271-B22#Q2+Q51+W90</v>
      </c>
    </row>
    <row r="14" spans="1:1" x14ac:dyDescent="0.25">
      <c r="A14" t="str">
        <f>raw!A15&amp;"#"&amp;raw!B15&amp;"#"&amp;raw!C15&amp;"#"&amp;raw!D15&amp;"#"&amp;raw!E15&amp;"#"&amp;raw!F15</f>
        <v>8DN9-2#706271#D04#31302678#HZ-478-M706271-B22#Q8+Q9+W1</v>
      </c>
    </row>
    <row r="15" spans="1:1" x14ac:dyDescent="0.25">
      <c r="A15" t="str">
        <f>raw!A16&amp;"#"&amp;raw!B16&amp;"#"&amp;raw!C16&amp;"#"&amp;raw!D16&amp;"#"&amp;raw!E16&amp;"#"&amp;raw!F16</f>
        <v>8DN9-2#706271#D04#31302678#HZ-478-M706271-B22#W81</v>
      </c>
    </row>
    <row r="16" spans="1:1" x14ac:dyDescent="0.25">
      <c r="A16" t="str">
        <f>raw!A17&amp;"#"&amp;raw!B17&amp;"#"&amp;raw!C17&amp;"#"&amp;raw!D17&amp;"#"&amp;raw!E17&amp;"#"&amp;raw!F17</f>
        <v>8DN9-2#706271#D04#31302678#HZ-478-M706271-B22#W91</v>
      </c>
    </row>
    <row r="17" spans="1:1" x14ac:dyDescent="0.25">
      <c r="A17" t="str">
        <f>raw!A18&amp;"#"&amp;raw!B18&amp;"#"&amp;raw!C18&amp;"#"&amp;raw!D18&amp;"#"&amp;raw!E18&amp;"#"&amp;raw!F18</f>
        <v>8DN9-2#706271#D05#31302679#HZ-478-M706271-B27#Q0+W80+Q1+Q51+T1+T2+W1+W2</v>
      </c>
    </row>
    <row r="18" spans="1:1" x14ac:dyDescent="0.25">
      <c r="A18" t="str">
        <f>raw!A19&amp;"#"&amp;raw!B19&amp;"#"&amp;raw!C19&amp;"#"&amp;raw!D19&amp;"#"&amp;raw!E19&amp;"#"&amp;raw!F19</f>
        <v>8DN9-2#706271#D05#31302679#HZ-478-M706271-B27#Q2+Q52+W3+W90</v>
      </c>
    </row>
    <row r="19" spans="1:1" x14ac:dyDescent="0.25">
      <c r="A19" t="str">
        <f>raw!A20&amp;"#"&amp;raw!B20&amp;"#"&amp;raw!C20&amp;"#"&amp;raw!D20&amp;"#"&amp;raw!E20&amp;"#"&amp;raw!F20</f>
        <v>8DN9-2#706271#D05#31302679#HZ-478-M706271-B27#W81+W82</v>
      </c>
    </row>
    <row r="20" spans="1:1" x14ac:dyDescent="0.25">
      <c r="A20" t="str">
        <f>raw!A21&amp;"#"&amp;raw!B21&amp;"#"&amp;raw!C21&amp;"#"&amp;raw!D21&amp;"#"&amp;raw!E21&amp;"#"&amp;raw!F21</f>
        <v>8DN9-2#706271#D05#31302679#HZ-478-M706271-B27#W91+W92</v>
      </c>
    </row>
    <row r="21" spans="1:1" x14ac:dyDescent="0.25">
      <c r="A21" t="str">
        <f>raw!A22&amp;"#"&amp;raw!B22&amp;"#"&amp;raw!C22&amp;"#"&amp;raw!D22&amp;"#"&amp;raw!E22&amp;"#"&amp;raw!F22</f>
        <v>8DN9-2#706271#D05#31302679#HZ-478-M706271-B28#W83</v>
      </c>
    </row>
    <row r="22" spans="1:1" x14ac:dyDescent="0.25">
      <c r="A22" t="str">
        <f>raw!A23&amp;"#"&amp;raw!B23&amp;"#"&amp;raw!C23&amp;"#"&amp;raw!D23&amp;"#"&amp;raw!E23&amp;"#"&amp;raw!F23</f>
        <v>8DN9-2#706271#D05#31302679#HZ-478-M706271-B28#Q18+W5</v>
      </c>
    </row>
    <row r="23" spans="1:1" x14ac:dyDescent="0.25">
      <c r="A23" t="str">
        <f>raw!A24&amp;"#"&amp;raw!B24&amp;"#"&amp;raw!C24&amp;"#"&amp;raw!D24&amp;"#"&amp;raw!E24&amp;"#"&amp;raw!F24</f>
        <v>8DN9-2#706271#D05#31302679#HZ-478-M706271-B28#Q3+Q15+W6+W7.R+W7.B+W8.Y</v>
      </c>
    </row>
    <row r="24" spans="1:1" x14ac:dyDescent="0.25">
      <c r="A24" t="str">
        <f>raw!A25&amp;"#"&amp;raw!B25&amp;"#"&amp;raw!C25&amp;"#"&amp;raw!D25&amp;"#"&amp;raw!E25&amp;"#"&amp;raw!F25</f>
        <v>8DN9-2#706271#D05#31302679#HZ-478-M706271-B28#W84</v>
      </c>
    </row>
    <row r="25" spans="1:1" x14ac:dyDescent="0.25">
      <c r="A25" t="str">
        <f>raw!A26&amp;"#"&amp;raw!B26&amp;"#"&amp;raw!C26&amp;"#"&amp;raw!D26&amp;"#"&amp;raw!E26&amp;"#"&amp;raw!F26</f>
        <v>8DN9-2#706271#D05#31302679#HZ-478-M706271-B29#Q28+W9+W10+W93</v>
      </c>
    </row>
    <row r="26" spans="1:1" x14ac:dyDescent="0.25">
      <c r="A26" t="str">
        <f>raw!A27&amp;"#"&amp;raw!B27&amp;"#"&amp;raw!C27&amp;"#"&amp;raw!D27&amp;"#"&amp;raw!E27&amp;"#"&amp;raw!F27</f>
        <v>8DN9-2#706271#D05#31302679#HZ-478-M706271-B29#Q4+W11+W13.Y+W14+W15</v>
      </c>
    </row>
    <row r="27" spans="1:1" x14ac:dyDescent="0.25">
      <c r="A27" t="str">
        <f>raw!A28&amp;"#"&amp;raw!B28&amp;"#"&amp;raw!C28&amp;"#"&amp;raw!D28&amp;"#"&amp;raw!E28&amp;"#"&amp;raw!F28</f>
        <v>8DN9-2#706271#D05#31302679#HZ-478-M706271-B29#Q25+W12.R+W12.B+W12.Y</v>
      </c>
    </row>
    <row r="28" spans="1:1" x14ac:dyDescent="0.25">
      <c r="A28" t="str">
        <f>raw!A29&amp;"#"&amp;raw!B29&amp;"#"&amp;raw!C29&amp;"#"&amp;raw!D29&amp;"#"&amp;raw!E29&amp;"#"&amp;raw!F29</f>
        <v>8DN9-2#706271#D05#31302679#HZ-478-M706271-B29#W94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06A96-A86C-47D6-BC74-45ACBF24A661}">
  <dimension ref="A1:C28"/>
  <sheetViews>
    <sheetView workbookViewId="0">
      <selection activeCell="C1" sqref="C1"/>
    </sheetView>
  </sheetViews>
  <sheetFormatPr defaultRowHeight="15" x14ac:dyDescent="0.25"/>
  <cols>
    <col min="1" max="1" width="79.140625" bestFit="1" customWidth="1"/>
    <col min="2" max="2" width="139.7109375" bestFit="1" customWidth="1"/>
    <col min="3" max="3" width="25.85546875" customWidth="1"/>
  </cols>
  <sheetData>
    <row r="1" spans="1:3" x14ac:dyDescent="0.25">
      <c r="A1" t="str">
        <f>raw!A2&amp;"#"&amp;raw!B2&amp;"#"&amp;raw!C2&amp;"#"&amp;raw!D2&amp;"#"&amp;raw!E2&amp;"#"&amp;raw!F2</f>
        <v>8DN9-2#706271#D01#31302675#HZ-478-M706271-B06#Q0+W80+Q1+T1+Q52+T2</v>
      </c>
      <c r="B1" t="str">
        <f>"https://quickchart.io/qr?text="&amp;_xlfn.ENCODEURL(A1)</f>
        <v>https://quickchart.io/qr?text=8DN9-2%23706271%23D01%2331302675%23HZ-478-M706271-B06%23Q0%2BW80%2BQ1%2BT1%2BQ52%2BT2</v>
      </c>
      <c r="C1" t="e" vm="1">
        <f>_xlfn.IMAGE(B1)</f>
        <v>#VALUE!</v>
      </c>
    </row>
    <row r="2" spans="1:3" x14ac:dyDescent="0.25">
      <c r="A2" t="str">
        <f>raw!A3&amp;"#"&amp;raw!B3&amp;"#"&amp;raw!C3&amp;"#"&amp;raw!D3&amp;"#"&amp;raw!E3&amp;"#"&amp;raw!F3</f>
        <v>8DN9-2#706271#D01#31302675#HZ-478-M706271-B06#Q2+Q51+W90</v>
      </c>
      <c r="B2" t="str">
        <f t="shared" ref="B2:B28" si="0">"https://quickchart.io/qr?text="&amp;_xlfn.ENCODEURL(A2)</f>
        <v>https://quickchart.io/qr?text=8DN9-2%23706271%23D01%2331302675%23HZ-478-M706271-B06%23Q2%2BQ51%2BW90</v>
      </c>
      <c r="C2" t="e" vm="2">
        <f t="shared" ref="C2:C28" si="1">_xlfn.IMAGE(B2)</f>
        <v>#VALUE!</v>
      </c>
    </row>
    <row r="3" spans="1:3" x14ac:dyDescent="0.25">
      <c r="A3" t="str">
        <f>raw!A4&amp;"#"&amp;raw!B4&amp;"#"&amp;raw!C4&amp;"#"&amp;raw!D4&amp;"#"&amp;raw!E4&amp;"#"&amp;raw!F4</f>
        <v>8DN9-2#706271#D01#31302675#HZ-478-M706271-B06#Q8+Q9+W1</v>
      </c>
      <c r="B3" t="str">
        <f t="shared" si="0"/>
        <v>https://quickchart.io/qr?text=8DN9-2%23706271%23D01%2331302675%23HZ-478-M706271-B06%23Q8%2BQ9%2BW1</v>
      </c>
      <c r="C3" t="e" vm="3">
        <f t="shared" si="1"/>
        <v>#VALUE!</v>
      </c>
    </row>
    <row r="4" spans="1:3" x14ac:dyDescent="0.25">
      <c r="A4" t="str">
        <f>raw!A5&amp;"#"&amp;raw!B5&amp;"#"&amp;raw!C5&amp;"#"&amp;raw!D5&amp;"#"&amp;raw!E5&amp;"#"&amp;raw!F5</f>
        <v>8DN9-2#706271#D01#31302675#HZ-478-M706271-B07#Q53+Q91+W4</v>
      </c>
      <c r="B4" t="str">
        <f t="shared" si="0"/>
        <v>https://quickchart.io/qr?text=8DN9-2%23706271%23D01%2331302675%23HZ-478-M706271-B07%23Q53%2BQ91%2BW4</v>
      </c>
      <c r="C4" t="e" vm="4">
        <f t="shared" si="1"/>
        <v>#VALUE!</v>
      </c>
    </row>
    <row r="5" spans="1:3" x14ac:dyDescent="0.25">
      <c r="A5" t="str">
        <f>raw!A6&amp;"#"&amp;raw!B6&amp;"#"&amp;raw!C6&amp;"#"&amp;raw!D6&amp;"#"&amp;raw!E6&amp;"#"&amp;raw!F6</f>
        <v>8DN9-2#706271#D02#31302676#HZ-478-M706271-B12#Q0+W80+Q1+T1+Q52+T2</v>
      </c>
      <c r="B5" t="str">
        <f t="shared" si="0"/>
        <v>https://quickchart.io/qr?text=8DN9-2%23706271%23D02%2331302676%23HZ-478-M706271-B12%23Q0%2BW80%2BQ1%2BT1%2BQ52%2BT2</v>
      </c>
      <c r="C5" t="e" vm="5">
        <f t="shared" si="1"/>
        <v>#VALUE!</v>
      </c>
    </row>
    <row r="6" spans="1:3" x14ac:dyDescent="0.25">
      <c r="A6" t="str">
        <f>raw!A7&amp;"#"&amp;raw!B7&amp;"#"&amp;raw!C7&amp;"#"&amp;raw!D7&amp;"#"&amp;raw!E7&amp;"#"&amp;raw!F7</f>
        <v>8DN9-2#706271#D02#31302676#HZ-478-M706271-B12#Q2+Q51+W90</v>
      </c>
      <c r="B6" t="str">
        <f t="shared" si="0"/>
        <v>https://quickchart.io/qr?text=8DN9-2%23706271%23D02%2331302676%23HZ-478-M706271-B12%23Q2%2BQ51%2BW90</v>
      </c>
      <c r="C6" t="e" vm="6">
        <f t="shared" si="1"/>
        <v>#VALUE!</v>
      </c>
    </row>
    <row r="7" spans="1:3" x14ac:dyDescent="0.25">
      <c r="A7" t="str">
        <f>raw!A8&amp;"#"&amp;raw!B8&amp;"#"&amp;raw!C8&amp;"#"&amp;raw!D8&amp;"#"&amp;raw!E8&amp;"#"&amp;raw!F8</f>
        <v>8DN9-2#706271#D02#31302676#HZ-478-M706271-B12#Q8+Q9+W1</v>
      </c>
      <c r="B7" t="str">
        <f t="shared" si="0"/>
        <v>https://quickchart.io/qr?text=8DN9-2%23706271%23D02%2331302676%23HZ-478-M706271-B12%23Q8%2BQ9%2BW1</v>
      </c>
      <c r="C7" t="e" vm="7">
        <f t="shared" si="1"/>
        <v>#VALUE!</v>
      </c>
    </row>
    <row r="8" spans="1:3" x14ac:dyDescent="0.25">
      <c r="A8" t="str">
        <f>raw!A9&amp;"#"&amp;raw!B9&amp;"#"&amp;raw!C9&amp;"#"&amp;raw!D9&amp;"#"&amp;raw!E9&amp;"#"&amp;raw!F9</f>
        <v>8DN9-2#706271#D03#31302677#HZ-478-M706271-B17#Q0+W80+Q1+T1+Q52+T2</v>
      </c>
      <c r="B8" t="str">
        <f t="shared" si="0"/>
        <v>https://quickchart.io/qr?text=8DN9-2%23706271%23D03%2331302677%23HZ-478-M706271-B17%23Q0%2BW80%2BQ1%2BT1%2BQ52%2BT2</v>
      </c>
      <c r="C8" t="e" vm="8">
        <f t="shared" si="1"/>
        <v>#VALUE!</v>
      </c>
    </row>
    <row r="9" spans="1:3" x14ac:dyDescent="0.25">
      <c r="A9" t="str">
        <f>raw!A10&amp;"#"&amp;raw!B10&amp;"#"&amp;raw!C10&amp;"#"&amp;raw!D10&amp;"#"&amp;raw!E10&amp;"#"&amp;raw!F10</f>
        <v>8DN9-2#706271#D03#31302677#HZ-478-M706271-B17#Q2+Q51+W90</v>
      </c>
      <c r="B9" t="str">
        <f t="shared" si="0"/>
        <v>https://quickchart.io/qr?text=8DN9-2%23706271%23D03%2331302677%23HZ-478-M706271-B17%23Q2%2BQ51%2BW90</v>
      </c>
      <c r="C9" t="e" vm="9">
        <f t="shared" si="1"/>
        <v>#VALUE!</v>
      </c>
    </row>
    <row r="10" spans="1:3" x14ac:dyDescent="0.25">
      <c r="A10" t="str">
        <f>raw!A11&amp;"#"&amp;raw!B11&amp;"#"&amp;raw!C11&amp;"#"&amp;raw!D11&amp;"#"&amp;raw!E11&amp;"#"&amp;raw!F11</f>
        <v>8DN9-2#706271#D03#31302677#HZ-478-M706271-B17#Q8+Q9+W1</v>
      </c>
      <c r="B10" t="str">
        <f t="shared" si="0"/>
        <v>https://quickchart.io/qr?text=8DN9-2%23706271%23D03%2331302677%23HZ-478-M706271-B17%23Q8%2BQ9%2BW1</v>
      </c>
      <c r="C10" t="e" vm="10">
        <f t="shared" si="1"/>
        <v>#VALUE!</v>
      </c>
    </row>
    <row r="11" spans="1:3" x14ac:dyDescent="0.25">
      <c r="A11" t="str">
        <f>raw!A12&amp;"#"&amp;raw!B12&amp;"#"&amp;raw!C12&amp;"#"&amp;raw!D12&amp;"#"&amp;raw!E12&amp;"#"&amp;raw!F12</f>
        <v>8DN9-2#706271#D03#31302677#HZ-478-M706271-B18#Q53+Q91+W4</v>
      </c>
      <c r="B11" t="str">
        <f t="shared" si="0"/>
        <v>https://quickchart.io/qr?text=8DN9-2%23706271%23D03%2331302677%23HZ-478-M706271-B18%23Q53%2BQ91%2BW4</v>
      </c>
      <c r="C11" t="e" vm="11">
        <f t="shared" si="1"/>
        <v>#VALUE!</v>
      </c>
    </row>
    <row r="12" spans="1:3" x14ac:dyDescent="0.25">
      <c r="A12" t="str">
        <f>raw!A13&amp;"#"&amp;raw!B13&amp;"#"&amp;raw!C13&amp;"#"&amp;raw!D13&amp;"#"&amp;raw!E13&amp;"#"&amp;raw!F13</f>
        <v>8DN9-2#706271#D04#31302678#HZ-478-M706271-B22#Q0+W80+Q1+T1+Q52+T2</v>
      </c>
      <c r="B12" t="str">
        <f t="shared" si="0"/>
        <v>https://quickchart.io/qr?text=8DN9-2%23706271%23D04%2331302678%23HZ-478-M706271-B22%23Q0%2BW80%2BQ1%2BT1%2BQ52%2BT2</v>
      </c>
      <c r="C12" t="e" vm="12">
        <f t="shared" si="1"/>
        <v>#VALUE!</v>
      </c>
    </row>
    <row r="13" spans="1:3" x14ac:dyDescent="0.25">
      <c r="A13" t="str">
        <f>raw!A14&amp;"#"&amp;raw!B14&amp;"#"&amp;raw!C14&amp;"#"&amp;raw!D14&amp;"#"&amp;raw!E14&amp;"#"&amp;raw!F14</f>
        <v>8DN9-2#706271#D04#31302678#HZ-478-M706271-B22#Q2+Q51+W90</v>
      </c>
      <c r="B13" t="str">
        <f t="shared" si="0"/>
        <v>https://quickchart.io/qr?text=8DN9-2%23706271%23D04%2331302678%23HZ-478-M706271-B22%23Q2%2BQ51%2BW90</v>
      </c>
      <c r="C13" t="e" vm="13">
        <f t="shared" si="1"/>
        <v>#VALUE!</v>
      </c>
    </row>
    <row r="14" spans="1:3" x14ac:dyDescent="0.25">
      <c r="A14" t="str">
        <f>raw!A15&amp;"#"&amp;raw!B15&amp;"#"&amp;raw!C15&amp;"#"&amp;raw!D15&amp;"#"&amp;raw!E15&amp;"#"&amp;raw!F15</f>
        <v>8DN9-2#706271#D04#31302678#HZ-478-M706271-B22#Q8+Q9+W1</v>
      </c>
      <c r="B14" t="str">
        <f t="shared" si="0"/>
        <v>https://quickchart.io/qr?text=8DN9-2%23706271%23D04%2331302678%23HZ-478-M706271-B22%23Q8%2BQ9%2BW1</v>
      </c>
      <c r="C14" t="e" vm="14">
        <f t="shared" si="1"/>
        <v>#VALUE!</v>
      </c>
    </row>
    <row r="15" spans="1:3" x14ac:dyDescent="0.25">
      <c r="A15" t="str">
        <f>raw!A16&amp;"#"&amp;raw!B16&amp;"#"&amp;raw!C16&amp;"#"&amp;raw!D16&amp;"#"&amp;raw!E16&amp;"#"&amp;raw!F16</f>
        <v>8DN9-2#706271#D04#31302678#HZ-478-M706271-B22#W81</v>
      </c>
      <c r="B15" t="str">
        <f t="shared" si="0"/>
        <v>https://quickchart.io/qr?text=8DN9-2%23706271%23D04%2331302678%23HZ-478-M706271-B22%23W81</v>
      </c>
      <c r="C15" t="e" vm="15">
        <f t="shared" si="1"/>
        <v>#VALUE!</v>
      </c>
    </row>
    <row r="16" spans="1:3" x14ac:dyDescent="0.25">
      <c r="A16" t="str">
        <f>raw!A17&amp;"#"&amp;raw!B17&amp;"#"&amp;raw!C17&amp;"#"&amp;raw!D17&amp;"#"&amp;raw!E17&amp;"#"&amp;raw!F17</f>
        <v>8DN9-2#706271#D04#31302678#HZ-478-M706271-B22#W91</v>
      </c>
      <c r="B16" t="str">
        <f t="shared" si="0"/>
        <v>https://quickchart.io/qr?text=8DN9-2%23706271%23D04%2331302678%23HZ-478-M706271-B22%23W91</v>
      </c>
      <c r="C16" t="e" vm="16">
        <f t="shared" si="1"/>
        <v>#VALUE!</v>
      </c>
    </row>
    <row r="17" spans="1:3" x14ac:dyDescent="0.25">
      <c r="A17" t="str">
        <f>raw!A18&amp;"#"&amp;raw!B18&amp;"#"&amp;raw!C18&amp;"#"&amp;raw!D18&amp;"#"&amp;raw!E18&amp;"#"&amp;raw!F18</f>
        <v>8DN9-2#706271#D05#31302679#HZ-478-M706271-B27#Q0+W80+Q1+Q51+T1+T2+W1+W2</v>
      </c>
      <c r="B17" t="str">
        <f t="shared" si="0"/>
        <v>https://quickchart.io/qr?text=8DN9-2%23706271%23D05%2331302679%23HZ-478-M706271-B27%23Q0%2BW80%2BQ1%2BQ51%2BT1%2BT2%2BW1%2BW2</v>
      </c>
      <c r="C17" t="e" vm="17">
        <f t="shared" si="1"/>
        <v>#VALUE!</v>
      </c>
    </row>
    <row r="18" spans="1:3" x14ac:dyDescent="0.25">
      <c r="A18" t="str">
        <f>raw!A19&amp;"#"&amp;raw!B19&amp;"#"&amp;raw!C19&amp;"#"&amp;raw!D19&amp;"#"&amp;raw!E19&amp;"#"&amp;raw!F19</f>
        <v>8DN9-2#706271#D05#31302679#HZ-478-M706271-B27#Q2+Q52+W3+W90</v>
      </c>
      <c r="B18" t="str">
        <f t="shared" si="0"/>
        <v>https://quickchart.io/qr?text=8DN9-2%23706271%23D05%2331302679%23HZ-478-M706271-B27%23Q2%2BQ52%2BW3%2BW90</v>
      </c>
      <c r="C18" t="e" vm="18">
        <f t="shared" si="1"/>
        <v>#VALUE!</v>
      </c>
    </row>
    <row r="19" spans="1:3" x14ac:dyDescent="0.25">
      <c r="A19" t="str">
        <f>raw!A20&amp;"#"&amp;raw!B20&amp;"#"&amp;raw!C20&amp;"#"&amp;raw!D20&amp;"#"&amp;raw!E20&amp;"#"&amp;raw!F20</f>
        <v>8DN9-2#706271#D05#31302679#HZ-478-M706271-B27#W81+W82</v>
      </c>
      <c r="B19" t="str">
        <f t="shared" si="0"/>
        <v>https://quickchart.io/qr?text=8DN9-2%23706271%23D05%2331302679%23HZ-478-M706271-B27%23W81%2BW82</v>
      </c>
      <c r="C19" t="e" vm="19">
        <f t="shared" si="1"/>
        <v>#VALUE!</v>
      </c>
    </row>
    <row r="20" spans="1:3" x14ac:dyDescent="0.25">
      <c r="A20" t="str">
        <f>raw!A21&amp;"#"&amp;raw!B21&amp;"#"&amp;raw!C21&amp;"#"&amp;raw!D21&amp;"#"&amp;raw!E21&amp;"#"&amp;raw!F21</f>
        <v>8DN9-2#706271#D05#31302679#HZ-478-M706271-B27#W91+W92</v>
      </c>
      <c r="B20" t="str">
        <f t="shared" si="0"/>
        <v>https://quickchart.io/qr?text=8DN9-2%23706271%23D05%2331302679%23HZ-478-M706271-B27%23W91%2BW92</v>
      </c>
      <c r="C20" t="e" vm="20">
        <f t="shared" si="1"/>
        <v>#VALUE!</v>
      </c>
    </row>
    <row r="21" spans="1:3" x14ac:dyDescent="0.25">
      <c r="A21" t="str">
        <f>raw!A22&amp;"#"&amp;raw!B22&amp;"#"&amp;raw!C22&amp;"#"&amp;raw!D22&amp;"#"&amp;raw!E22&amp;"#"&amp;raw!F22</f>
        <v>8DN9-2#706271#D05#31302679#HZ-478-M706271-B28#W83</v>
      </c>
      <c r="B21" t="str">
        <f t="shared" si="0"/>
        <v>https://quickchart.io/qr?text=8DN9-2%23706271%23D05%2331302679%23HZ-478-M706271-B28%23W83</v>
      </c>
      <c r="C21" t="e" vm="21">
        <f t="shared" si="1"/>
        <v>#VALUE!</v>
      </c>
    </row>
    <row r="22" spans="1:3" x14ac:dyDescent="0.25">
      <c r="A22" t="str">
        <f>raw!A23&amp;"#"&amp;raw!B23&amp;"#"&amp;raw!C23&amp;"#"&amp;raw!D23&amp;"#"&amp;raw!E23&amp;"#"&amp;raw!F23</f>
        <v>8DN9-2#706271#D05#31302679#HZ-478-M706271-B28#Q18+W5</v>
      </c>
      <c r="B22" t="str">
        <f t="shared" si="0"/>
        <v>https://quickchart.io/qr?text=8DN9-2%23706271%23D05%2331302679%23HZ-478-M706271-B28%23Q18%2BW5</v>
      </c>
      <c r="C22" t="e" vm="22">
        <f t="shared" si="1"/>
        <v>#VALUE!</v>
      </c>
    </row>
    <row r="23" spans="1:3" x14ac:dyDescent="0.25">
      <c r="A23" t="str">
        <f>raw!A24&amp;"#"&amp;raw!B24&amp;"#"&amp;raw!C24&amp;"#"&amp;raw!D24&amp;"#"&amp;raw!E24&amp;"#"&amp;raw!F24</f>
        <v>8DN9-2#706271#D05#31302679#HZ-478-M706271-B28#Q3+Q15+W6+W7.R+W7.B+W8.Y</v>
      </c>
      <c r="B23" t="str">
        <f t="shared" si="0"/>
        <v>https://quickchart.io/qr?text=8DN9-2%23706271%23D05%2331302679%23HZ-478-M706271-B28%23Q3%2BQ15%2BW6%2BW7.R%2BW7.B%2BW8.Y</v>
      </c>
      <c r="C23" t="e" vm="23">
        <f t="shared" si="1"/>
        <v>#VALUE!</v>
      </c>
    </row>
    <row r="24" spans="1:3" x14ac:dyDescent="0.25">
      <c r="A24" t="str">
        <f>raw!A25&amp;"#"&amp;raw!B25&amp;"#"&amp;raw!C25&amp;"#"&amp;raw!D25&amp;"#"&amp;raw!E25&amp;"#"&amp;raw!F25</f>
        <v>8DN9-2#706271#D05#31302679#HZ-478-M706271-B28#W84</v>
      </c>
      <c r="B24" t="str">
        <f t="shared" si="0"/>
        <v>https://quickchart.io/qr?text=8DN9-2%23706271%23D05%2331302679%23HZ-478-M706271-B28%23W84</v>
      </c>
      <c r="C24" t="e" vm="24">
        <f t="shared" si="1"/>
        <v>#VALUE!</v>
      </c>
    </row>
    <row r="25" spans="1:3" x14ac:dyDescent="0.25">
      <c r="A25" t="str">
        <f>raw!A26&amp;"#"&amp;raw!B26&amp;"#"&amp;raw!C26&amp;"#"&amp;raw!D26&amp;"#"&amp;raw!E26&amp;"#"&amp;raw!F26</f>
        <v>8DN9-2#706271#D05#31302679#HZ-478-M706271-B29#Q28+W9+W10+W93</v>
      </c>
      <c r="B25" t="str">
        <f t="shared" si="0"/>
        <v>https://quickchart.io/qr?text=8DN9-2%23706271%23D05%2331302679%23HZ-478-M706271-B29%23Q28%2BW9%2BW10%2BW93</v>
      </c>
      <c r="C25" t="e" vm="25">
        <f t="shared" si="1"/>
        <v>#VALUE!</v>
      </c>
    </row>
    <row r="26" spans="1:3" x14ac:dyDescent="0.25">
      <c r="A26" t="str">
        <f>raw!A27&amp;"#"&amp;raw!B27&amp;"#"&amp;raw!C27&amp;"#"&amp;raw!D27&amp;"#"&amp;raw!E27&amp;"#"&amp;raw!F27</f>
        <v>8DN9-2#706271#D05#31302679#HZ-478-M706271-B29#Q4+W11+W13.Y+W14+W15</v>
      </c>
      <c r="B26" t="str">
        <f t="shared" si="0"/>
        <v>https://quickchart.io/qr?text=8DN9-2%23706271%23D05%2331302679%23HZ-478-M706271-B29%23Q4%2BW11%2BW13.Y%2BW14%2BW15</v>
      </c>
      <c r="C26" t="e" vm="26">
        <f t="shared" si="1"/>
        <v>#VALUE!</v>
      </c>
    </row>
    <row r="27" spans="1:3" x14ac:dyDescent="0.25">
      <c r="A27" t="str">
        <f>raw!A28&amp;"#"&amp;raw!B28&amp;"#"&amp;raw!C28&amp;"#"&amp;raw!D28&amp;"#"&amp;raw!E28&amp;"#"&amp;raw!F28</f>
        <v>8DN9-2#706271#D05#31302679#HZ-478-M706271-B29#Q25+W12.R+W12.B+W12.Y</v>
      </c>
      <c r="B27" t="str">
        <f t="shared" si="0"/>
        <v>https://quickchart.io/qr?text=8DN9-2%23706271%23D05%2331302679%23HZ-478-M706271-B29%23Q25%2BW12.R%2BW12.B%2BW12.Y</v>
      </c>
      <c r="C27" t="e" vm="27">
        <f t="shared" si="1"/>
        <v>#VALUE!</v>
      </c>
    </row>
    <row r="28" spans="1:3" x14ac:dyDescent="0.25">
      <c r="A28" t="str">
        <f>raw!A29&amp;"#"&amp;raw!B29&amp;"#"&amp;raw!C29&amp;"#"&amp;raw!D29&amp;"#"&amp;raw!E29&amp;"#"&amp;raw!F29</f>
        <v>8DN9-2#706271#D05#31302679#HZ-478-M706271-B29#W94</v>
      </c>
      <c r="B28" t="str">
        <f t="shared" si="0"/>
        <v>https://quickchart.io/qr?text=8DN9-2%23706271%23D05%2331302679%23HZ-478-M706271-B29%23W94</v>
      </c>
      <c r="C28" t="e" vm="28">
        <f t="shared" si="1"/>
        <v>#VALUE!</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78E58-7621-42D5-9D6B-01D352D674BF}">
  <dimension ref="A2:T10"/>
  <sheetViews>
    <sheetView showGridLines="0" topLeftCell="F1" zoomScaleNormal="100" workbookViewId="0">
      <selection activeCell="S15" sqref="S15"/>
    </sheetView>
  </sheetViews>
  <sheetFormatPr defaultRowHeight="15" x14ac:dyDescent="0.25"/>
  <cols>
    <col min="4" max="4" width="21.7109375" customWidth="1"/>
    <col min="6" max="6" width="20.140625" customWidth="1"/>
    <col min="9" max="9" width="5.7109375" customWidth="1"/>
    <col min="11" max="11" width="5.7109375" customWidth="1"/>
    <col min="13" max="13" width="5.7109375" customWidth="1"/>
    <col min="15" max="15" width="5.7109375" customWidth="1"/>
    <col min="18" max="18" width="67.28515625" bestFit="1" customWidth="1"/>
    <col min="19" max="19" width="9.42578125" customWidth="1"/>
  </cols>
  <sheetData>
    <row r="2" spans="1:20" x14ac:dyDescent="0.25">
      <c r="Q2" t="s">
        <v>45</v>
      </c>
    </row>
    <row r="3" spans="1:20" x14ac:dyDescent="0.25">
      <c r="A3" s="6" t="s">
        <v>61</v>
      </c>
      <c r="B3" s="6"/>
      <c r="C3" s="6"/>
      <c r="D3" s="6"/>
      <c r="E3" s="6"/>
      <c r="F3" s="6"/>
      <c r="I3" t="s">
        <v>43</v>
      </c>
    </row>
    <row r="4" spans="1:20" x14ac:dyDescent="0.25">
      <c r="A4" s="6"/>
      <c r="B4" s="6"/>
      <c r="C4" s="6"/>
      <c r="D4" s="6"/>
      <c r="E4" s="6"/>
      <c r="F4" s="6"/>
      <c r="Q4" s="2" t="s">
        <v>46</v>
      </c>
      <c r="R4" s="2" t="s">
        <v>47</v>
      </c>
      <c r="S4" s="2" t="s">
        <v>48</v>
      </c>
      <c r="T4" s="2" t="s">
        <v>49</v>
      </c>
    </row>
    <row r="5" spans="1:20" x14ac:dyDescent="0.25">
      <c r="A5" t="s">
        <v>40</v>
      </c>
      <c r="B5" s="1"/>
      <c r="C5" t="s">
        <v>0</v>
      </c>
      <c r="D5" s="1"/>
      <c r="E5" t="s">
        <v>41</v>
      </c>
      <c r="F5" s="1"/>
      <c r="I5" s="1"/>
      <c r="J5" t="s">
        <v>44</v>
      </c>
      <c r="K5" s="1"/>
      <c r="L5" t="s">
        <v>44</v>
      </c>
      <c r="M5" s="1"/>
      <c r="N5" t="s">
        <v>44</v>
      </c>
      <c r="O5" s="1"/>
      <c r="P5" t="s">
        <v>44</v>
      </c>
      <c r="Q5" s="1" t="s">
        <v>50</v>
      </c>
      <c r="R5" s="1" t="s">
        <v>56</v>
      </c>
      <c r="S5" s="1"/>
      <c r="T5" s="1"/>
    </row>
    <row r="6" spans="1:20" x14ac:dyDescent="0.25">
      <c r="Q6" s="1" t="s">
        <v>51</v>
      </c>
      <c r="R6" s="1" t="s">
        <v>57</v>
      </c>
      <c r="S6" s="1"/>
      <c r="T6" s="1"/>
    </row>
    <row r="7" spans="1:20" x14ac:dyDescent="0.25">
      <c r="A7" t="s">
        <v>42</v>
      </c>
      <c r="C7" s="3"/>
      <c r="D7" s="4"/>
      <c r="E7" s="4"/>
      <c r="F7" s="5"/>
      <c r="I7" s="1"/>
      <c r="J7" t="s">
        <v>44</v>
      </c>
      <c r="K7" s="1"/>
      <c r="L7" t="s">
        <v>44</v>
      </c>
      <c r="M7" s="1"/>
      <c r="N7" t="s">
        <v>44</v>
      </c>
      <c r="O7" s="1"/>
      <c r="P7" t="s">
        <v>44</v>
      </c>
      <c r="Q7" s="1" t="s">
        <v>52</v>
      </c>
      <c r="R7" s="1" t="s">
        <v>58</v>
      </c>
      <c r="S7" s="1"/>
      <c r="T7" s="1"/>
    </row>
    <row r="8" spans="1:20" x14ac:dyDescent="0.25">
      <c r="Q8" s="1" t="s">
        <v>53</v>
      </c>
      <c r="R8" s="1" t="s">
        <v>59</v>
      </c>
      <c r="S8" s="1"/>
      <c r="T8" s="1"/>
    </row>
    <row r="9" spans="1:20" x14ac:dyDescent="0.25">
      <c r="I9" s="1"/>
      <c r="J9" t="s">
        <v>44</v>
      </c>
      <c r="K9" s="1"/>
      <c r="L9" t="s">
        <v>44</v>
      </c>
      <c r="M9" s="1"/>
      <c r="N9" t="s">
        <v>44</v>
      </c>
      <c r="O9" s="1"/>
      <c r="P9" t="s">
        <v>44</v>
      </c>
      <c r="Q9" s="1" t="s">
        <v>54</v>
      </c>
      <c r="R9" s="1" t="s">
        <v>60</v>
      </c>
      <c r="S9" s="1"/>
      <c r="T9" s="1"/>
    </row>
    <row r="10" spans="1:20" x14ac:dyDescent="0.25">
      <c r="Q10" s="1" t="s">
        <v>55</v>
      </c>
      <c r="R10" s="1"/>
      <c r="S10" s="1"/>
      <c r="T10" s="1"/>
    </row>
  </sheetData>
  <mergeCells count="1">
    <mergeCell ref="A3:F4"/>
  </mergeCells>
  <pageMargins left="0.7" right="0.7" top="0.75" bottom="0.75" header="0.3" footer="0.3"/>
  <pageSetup paperSize="8"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vt:lpstr>
      <vt:lpstr>Sheet1</vt:lpstr>
      <vt:lpstr>textdump2json</vt:lpstr>
      <vt:lpstr>stringdump2qr</vt:lpstr>
      <vt:lpstr>fcr_template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 Yi Min (ext)</dc:creator>
  <cp:lastModifiedBy>Hu, Yimin</cp:lastModifiedBy>
  <dcterms:created xsi:type="dcterms:W3CDTF">2015-06-05T18:19:34Z</dcterms:created>
  <dcterms:modified xsi:type="dcterms:W3CDTF">2026-09-17T08:32:13Z</dcterms:modified>
</cp:coreProperties>
</file>